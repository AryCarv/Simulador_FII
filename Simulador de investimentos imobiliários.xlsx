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stóteles\Documents\Falta copiar - DIO Excel\Projeto\"/>
    </mc:Choice>
  </mc:AlternateContent>
  <xr:revisionPtr revIDLastSave="0" documentId="13_ncr:1_{9E7ACDB4-9272-40A4-B7AB-BD52DEB2CAA9}" xr6:coauthVersionLast="47" xr6:coauthVersionMax="47" xr10:uidLastSave="{00000000-0000-0000-0000-000000000000}"/>
  <bookViews>
    <workbookView xWindow="-120" yWindow="-120" windowWidth="20730" windowHeight="11040" tabRatio="363" xr2:uid="{BC6D990E-6CAF-4AF5-B4DF-C82826CC5F3B}"/>
  </bookViews>
  <sheets>
    <sheet name="APP" sheetId="1" r:id="rId1"/>
    <sheet name="Planilha2" sheetId="2" r:id="rId2"/>
  </sheets>
  <definedNames>
    <definedName name="aporte">APP!$D$14</definedName>
    <definedName name="patrimonio">APP!$D$17</definedName>
    <definedName name="qtd_anos">APP!$D$15</definedName>
    <definedName name="rendimento_carteira">APP!$D$10</definedName>
    <definedName name="salario">APP!$D$9</definedName>
    <definedName name="sugestao_investimento">APP!$D$11</definedName>
    <definedName name="taxa_mensal">APP!$D$16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1" l="1"/>
  <c r="C33" i="1"/>
  <c r="C34" i="1"/>
  <c r="C35" i="1"/>
  <c r="C36" i="1"/>
  <c r="C37" i="1"/>
  <c r="C38" i="1"/>
  <c r="A16" i="2"/>
  <c r="A17" i="2"/>
  <c r="A18" i="2"/>
  <c r="A19" i="2"/>
  <c r="A20" i="2"/>
  <c r="A15" i="2"/>
  <c r="A14" i="2"/>
  <c r="A10" i="2"/>
  <c r="A11" i="2"/>
  <c r="A12" i="2"/>
  <c r="A13" i="2"/>
  <c r="A9" i="2"/>
  <c r="A3" i="2"/>
  <c r="A4" i="2"/>
  <c r="A5" i="2"/>
  <c r="A6" i="2"/>
  <c r="A7" i="2"/>
  <c r="A8" i="2"/>
  <c r="D11" i="1"/>
  <c r="D17" i="1"/>
  <c r="D18" i="1" s="1"/>
  <c r="C21" i="1"/>
  <c r="D21" i="1" s="1"/>
  <c r="C22" i="1"/>
  <c r="D22" i="1" s="1"/>
  <c r="C23" i="1"/>
  <c r="D23" i="1" s="1"/>
  <c r="C24" i="1"/>
  <c r="D24" i="1" s="1"/>
  <c r="C25" i="1"/>
  <c r="D25" i="1" s="1"/>
  <c r="D33" i="1" l="1"/>
  <c r="D36" i="1"/>
  <c r="D35" i="1"/>
  <c r="D38" i="1"/>
  <c r="D34" i="1"/>
  <c r="D37" i="1"/>
  <c r="D39" i="1" l="1"/>
</calcChain>
</file>

<file path=xl/sharedStrings.xml><?xml version="1.0" encoding="utf-8"?>
<sst xmlns="http://schemas.openxmlformats.org/spreadsheetml/2006/main" count="72" uniqueCount="37">
  <si>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</si>
  <si>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</si>
  <si>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</si>
  <si>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</si>
  <si>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</si>
  <si>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</si>
  <si>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</si>
  <si>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</si>
  <si>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</si>
  <si>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</si>
  <si>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</si>
  <si>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Dividendos/mês</t>
  </si>
  <si>
    <t>Salário</t>
  </si>
  <si>
    <t>Rendimento carteira</t>
  </si>
  <si>
    <t>CONFIGURAÇÕES</t>
  </si>
  <si>
    <t>Patrimônio acumulado</t>
  </si>
  <si>
    <r>
      <t>Cenários</t>
    </r>
    <r>
      <rPr>
        <sz val="18"/>
        <color theme="0"/>
        <rFont val="Segoe UI"/>
        <family val="2"/>
      </rPr>
      <t xml:space="preserve"> </t>
    </r>
  </si>
  <si>
    <t>Conservador</t>
  </si>
  <si>
    <t>Moderado</t>
  </si>
  <si>
    <t>Agressivo</t>
  </si>
  <si>
    <t>VALOR A SER INVESTIDO POR MÊS</t>
  </si>
  <si>
    <t>PERFIL INVESTIDOR</t>
  </si>
  <si>
    <t>TIPO DE FII</t>
  </si>
  <si>
    <t>Percentual Sugerido</t>
  </si>
  <si>
    <t>Valores</t>
  </si>
  <si>
    <t>PAPEL</t>
  </si>
  <si>
    <t>TIJOLO</t>
  </si>
  <si>
    <t>HIBRÍDOS</t>
  </si>
  <si>
    <t>FOFs</t>
  </si>
  <si>
    <t>DESENVOLVIMENTO</t>
  </si>
  <si>
    <t>HOTELARIAS</t>
  </si>
  <si>
    <t>Perfil</t>
  </si>
  <si>
    <t>%</t>
  </si>
  <si>
    <t>CHAVE</t>
  </si>
  <si>
    <t>Sugestão de investimento (30%)</t>
  </si>
  <si>
    <r>
      <rPr>
        <sz val="60"/>
        <color rgb="FF005CB8"/>
        <rFont val="Segoe UI Semibold"/>
        <family val="2"/>
      </rPr>
      <t>Investimentos</t>
    </r>
    <r>
      <rPr>
        <sz val="32"/>
        <color rgb="FF005CB8"/>
        <rFont val="Segoe UI Semibold"/>
        <family val="2"/>
      </rPr>
      <t xml:space="preserve"> </t>
    </r>
  </si>
  <si>
    <t>Fundos Imobiliários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</si>
</sst>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Segoe UI"/>
      <family val="2"/>
    </font>
    <font>
      <b/>
      <sz val="18"/>
      <color theme="0"/>
      <name val="Segoe UI"/>
      <family val="2"/>
    </font>
    <font>
      <sz val="18"/>
      <color theme="0"/>
      <name val="Segoe UI"/>
      <family val="2"/>
    </font>
    <font>
      <sz val="12"/>
      <color theme="1"/>
      <name val="Segoe UI"/>
      <family val="2"/>
    </font>
    <font>
      <b/>
      <sz val="13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12"/>
      <color rgb="FF9C5700"/>
      <name val="Segoe UI"/>
      <family val="2"/>
    </font>
    <font>
      <b/>
      <sz val="12"/>
      <color rgb="FF9C5700"/>
      <name val="Segoe UI"/>
      <family val="2"/>
    </font>
    <font>
      <sz val="72"/>
      <color rgb="FF005CB8"/>
      <name val="Segoe UI Semibold"/>
      <family val="2"/>
    </font>
    <font>
      <sz val="60"/>
      <color rgb="FF005CB8"/>
      <name val="Segoe UI Semibold"/>
      <family val="2"/>
    </font>
    <font>
      <sz val="32"/>
      <color rgb="FF005CB8"/>
      <name val="Segoe UI Semibold"/>
      <family val="2"/>
    </font>
    <font>
      <sz val="32"/>
      <color theme="1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D530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6" fillId="3" borderId="2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8" fontId="10" fillId="6" borderId="4" xfId="0" applyNumberFormat="1" applyFont="1" applyFill="1" applyBorder="1" applyAlignment="1">
      <alignment horizontal="center"/>
    </xf>
    <xf numFmtId="8" fontId="10" fillId="6" borderId="6" xfId="0" applyNumberFormat="1" applyFont="1" applyFill="1" applyBorder="1" applyAlignment="1">
      <alignment horizontal="center"/>
    </xf>
    <xf numFmtId="164" fontId="9" fillId="6" borderId="6" xfId="0" applyNumberFormat="1" applyFont="1" applyFill="1" applyBorder="1" applyAlignment="1">
      <alignment horizontal="center"/>
    </xf>
    <xf numFmtId="0" fontId="9" fillId="6" borderId="9" xfId="0" applyFont="1" applyFill="1" applyBorder="1" applyAlignment="1">
      <alignment horizontal="left" indent="1"/>
    </xf>
    <xf numFmtId="8" fontId="12" fillId="6" borderId="10" xfId="0" applyNumberFormat="1" applyFont="1" applyFill="1" applyBorder="1" applyAlignment="1">
      <alignment horizontal="center"/>
    </xf>
    <xf numFmtId="8" fontId="12" fillId="6" borderId="11" xfId="0" applyNumberFormat="1" applyFont="1" applyFill="1" applyBorder="1" applyAlignment="1">
      <alignment horizontal="center"/>
    </xf>
    <xf numFmtId="0" fontId="9" fillId="6" borderId="3" xfId="0" applyFont="1" applyFill="1" applyBorder="1" applyAlignment="1">
      <alignment horizontal="left" indent="1"/>
    </xf>
    <xf numFmtId="8" fontId="12" fillId="6" borderId="12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left" indent="1"/>
    </xf>
    <xf numFmtId="8" fontId="12" fillId="6" borderId="13" xfId="0" applyNumberFormat="1" applyFont="1" applyFill="1" applyBorder="1" applyAlignment="1">
      <alignment horizontal="center"/>
    </xf>
    <xf numFmtId="8" fontId="12" fillId="6" borderId="16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3" fillId="2" borderId="0" xfId="3" applyFont="1"/>
    <xf numFmtId="0" fontId="9" fillId="0" borderId="0" xfId="0" applyFont="1"/>
    <xf numFmtId="0" fontId="11" fillId="0" borderId="0" xfId="0" applyFont="1"/>
    <xf numFmtId="0" fontId="6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4" fontId="9" fillId="5" borderId="0" xfId="0" applyNumberFormat="1" applyFont="1" applyFill="1"/>
    <xf numFmtId="0" fontId="6" fillId="7" borderId="0" xfId="0" applyFont="1" applyFill="1"/>
    <xf numFmtId="164" fontId="6" fillId="7" borderId="0" xfId="0" applyNumberFormat="1" applyFont="1" applyFill="1"/>
    <xf numFmtId="164" fontId="9" fillId="0" borderId="11" xfId="1" applyNumberFormat="1" applyFont="1" applyBorder="1" applyAlignment="1" applyProtection="1">
      <alignment horizontal="center"/>
      <protection locked="0"/>
    </xf>
    <xf numFmtId="9" fontId="9" fillId="0" borderId="4" xfId="0" applyNumberFormat="1" applyFont="1" applyBorder="1" applyAlignment="1" applyProtection="1">
      <alignment horizontal="center"/>
      <protection locked="0"/>
    </xf>
    <xf numFmtId="164" fontId="10" fillId="0" borderId="4" xfId="0" applyNumberFormat="1" applyFont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10" fontId="10" fillId="0" borderId="4" xfId="2" applyNumberFormat="1" applyFont="1" applyBorder="1" applyAlignment="1" applyProtection="1">
      <alignment horizontal="center"/>
      <protection locked="0"/>
    </xf>
    <xf numFmtId="0" fontId="14" fillId="2" borderId="0" xfId="3" applyFont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center"/>
    </xf>
    <xf numFmtId="0" fontId="11" fillId="6" borderId="5" xfId="0" applyFont="1" applyFill="1" applyBorder="1" applyAlignment="1">
      <alignment horizontal="left" indent="1"/>
    </xf>
    <xf numFmtId="0" fontId="11" fillId="6" borderId="13" xfId="0" applyFont="1" applyFill="1" applyBorder="1" applyAlignment="1">
      <alignment horizontal="left" indent="1"/>
    </xf>
    <xf numFmtId="0" fontId="1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indent="1"/>
    </xf>
    <xf numFmtId="0" fontId="9" fillId="6" borderId="12" xfId="0" applyFont="1" applyFill="1" applyBorder="1" applyAlignment="1">
      <alignment horizontal="left" indent="1"/>
    </xf>
    <xf numFmtId="0" fontId="11" fillId="6" borderId="3" xfId="0" applyFont="1" applyFill="1" applyBorder="1" applyAlignment="1">
      <alignment horizontal="left" indent="1"/>
    </xf>
    <xf numFmtId="0" fontId="11" fillId="6" borderId="12" xfId="0" applyFont="1" applyFill="1" applyBorder="1" applyAlignment="1">
      <alignment horizontal="left" indent="1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left" indent="1"/>
    </xf>
    <xf numFmtId="0" fontId="9" fillId="6" borderId="10" xfId="0" applyFont="1" applyFill="1" applyBorder="1" applyAlignment="1">
      <alignment horizontal="left" indent="1"/>
    </xf>
    <xf numFmtId="0" fontId="9" fillId="6" borderId="5" xfId="0" applyFont="1" applyFill="1" applyBorder="1" applyAlignment="1">
      <alignment horizontal="left" indent="1"/>
    </xf>
    <xf numFmtId="0" fontId="9" fillId="6" borderId="13" xfId="0" applyFont="1" applyFill="1" applyBorder="1" applyAlignment="1">
      <alignment horizontal="left" inden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5CB8"/>
      <color rgb="FF0D530D"/>
      <color rgb="FF0A42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64324847743544"/>
          <c:y val="0.10001444954021169"/>
          <c:w val="0.55639867832054979"/>
          <c:h val="0.8062235425103258"/>
        </c:manualLayout>
      </c:layout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0C-463D-9D60-EDFBF9339F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60C-463D-9D60-EDFBF9339F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0C-463D-9D60-EDFBF9339F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60C-463D-9D60-EDFBF9339F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0C-463D-9D60-EDFBF9339F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60C-463D-9D60-EDFBF9339F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60C-463D-9D60-EDFBF9339F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60C-463D-9D60-EDFBF9339F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60C-463D-9D60-EDFBF9339F9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60C-463D-9D60-EDFBF9339F9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60C-463D-9D60-EDFBF9339F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60C-463D-9D60-EDFBF9339F9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C-463D-9D60-EDFBF9339F9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981075</xdr:colOff>
      <xdr:row>41</xdr:row>
      <xdr:rowOff>138111</xdr:rowOff>
    </xdr:from>
    <xdr:to>
      <xdr:col>3</xdr:col>
      <xdr:colOff>638175</xdr:colOff>
      <xdr:row>63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A9021-5BCC-1AAF-4907-BDE92810A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682776</xdr:colOff>
      <xdr:row>0</xdr:row>
      <xdr:rowOff>152400</xdr:rowOff>
    </xdr:from>
    <xdr:to>
      <xdr:col>1</xdr:col>
      <xdr:colOff>1878862</xdr:colOff>
      <xdr:row>4</xdr:row>
      <xdr:rowOff>266699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98D6AEA-1D6F-29F2-55F1-FDAB0564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576" y="152400"/>
          <a:ext cx="1196086" cy="876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22A6-10E0-432E-9EA3-8CF0CA85E0A5}">
  <dimension ref="A5:F39"/>
  <sheetViews>
    <sheetView showGridLines="0" tabSelected="1" workbookViewId="0">
      <selection activeCell="D12" sqref="D12"/>
    </sheetView>
  </sheetViews>
  <sheetFormatPr defaultColWidth="0" defaultRowHeight="15" x14ac:dyDescent="0.25"/>
  <cols>
    <col min="1" max="1" width="4.5703125" customWidth="1"/>
    <col min="2" max="2" width="46" customWidth="1"/>
    <col min="3" max="3" width="47.42578125" customWidth="1"/>
    <col min="4" max="4" width="19.42578125" bestFit="1" customWidth="1"/>
    <col min="5" max="5" width="3.85546875" customWidth="1"/>
    <col min="6" max="6" width="13.42578125" hidden="1" customWidth="1"/>
    <col min="7" max="7" width="9.140625" hidden="1" customWidth="1"/>
    <col min="8" max="16384" width="9.140625" hidden="1"/>
  </cols>
  <sheetData>
    <row r="5" spans="2:4" ht="85.5" customHeight="1" x14ac:dyDescent="1.65">
      <c r="B5" s="57" t="s">
        <v>35</v>
      </c>
      <c r="C5" s="42"/>
      <c r="D5" s="42"/>
    </row>
    <row r="6" spans="2:4" ht="41.25" customHeight="1" x14ac:dyDescent="0.85">
      <c r="B6" s="58" t="s">
        <v>36</v>
      </c>
      <c r="C6" s="57"/>
      <c r="D6" s="57"/>
    </row>
    <row r="7" spans="2:4" ht="15.75" thickBot="1" x14ac:dyDescent="0.3"/>
    <row r="8" spans="2:4" ht="26.25" customHeight="1" x14ac:dyDescent="0.25">
      <c r="B8" s="43" t="s">
        <v>14</v>
      </c>
      <c r="C8" s="44"/>
      <c r="D8" s="45"/>
    </row>
    <row r="9" spans="2:4" ht="17.25" x14ac:dyDescent="0.3">
      <c r="B9" s="53" t="s">
        <v>12</v>
      </c>
      <c r="C9" s="54"/>
      <c r="D9" s="33">
        <v>5000</v>
      </c>
    </row>
    <row r="10" spans="2:4" ht="17.25" x14ac:dyDescent="0.3">
      <c r="B10" s="46" t="s">
        <v>13</v>
      </c>
      <c r="C10" s="47"/>
      <c r="D10" s="34">
        <v>0.01</v>
      </c>
    </row>
    <row r="11" spans="2:4" ht="18" thickBot="1" x14ac:dyDescent="0.35">
      <c r="B11" s="55" t="s">
        <v>34</v>
      </c>
      <c r="C11" s="56"/>
      <c r="D11" s="8">
        <f>D9*30%</f>
        <v>1500</v>
      </c>
    </row>
    <row r="12" spans="2:4" ht="15.75" thickBot="1" x14ac:dyDescent="0.3"/>
    <row r="13" spans="2:4" ht="26.25" customHeight="1" x14ac:dyDescent="0.25">
      <c r="B13" s="50" t="s">
        <v>5</v>
      </c>
      <c r="C13" s="51"/>
      <c r="D13" s="52"/>
    </row>
    <row r="14" spans="2:4" ht="18.75" x14ac:dyDescent="0.35">
      <c r="B14" s="46" t="s">
        <v>0</v>
      </c>
      <c r="C14" s="47"/>
      <c r="D14" s="35">
        <v>500</v>
      </c>
    </row>
    <row r="15" spans="2:4" ht="18.75" x14ac:dyDescent="0.35">
      <c r="B15" s="46" t="s">
        <v>1</v>
      </c>
      <c r="C15" s="47"/>
      <c r="D15" s="36">
        <v>5</v>
      </c>
    </row>
    <row r="16" spans="2:4" ht="18.75" x14ac:dyDescent="0.35">
      <c r="B16" s="46" t="s">
        <v>2</v>
      </c>
      <c r="C16" s="47"/>
      <c r="D16" s="37">
        <v>1.0789999999999999E-2</v>
      </c>
    </row>
    <row r="17" spans="1:4" ht="18.75" x14ac:dyDescent="0.35">
      <c r="B17" s="48" t="s">
        <v>3</v>
      </c>
      <c r="C17" s="49"/>
      <c r="D17" s="6">
        <f>FV(taxa_mensal,qtd_anos*12,aporte*-1)</f>
        <v>41888.456999243819</v>
      </c>
    </row>
    <row r="18" spans="1:4" ht="19.5" thickBot="1" x14ac:dyDescent="0.4">
      <c r="B18" s="40" t="s">
        <v>4</v>
      </c>
      <c r="C18" s="41"/>
      <c r="D18" s="7">
        <f>patrimonio*rendimento_carteira</f>
        <v>418.88456999243817</v>
      </c>
    </row>
    <row r="19" spans="1:4" ht="15.75" thickBot="1" x14ac:dyDescent="0.3"/>
    <row r="20" spans="1:4" ht="26.25" customHeight="1" x14ac:dyDescent="0.25">
      <c r="B20" s="5" t="s">
        <v>16</v>
      </c>
      <c r="C20" s="4" t="s">
        <v>15</v>
      </c>
      <c r="D20" s="3" t="s">
        <v>11</v>
      </c>
    </row>
    <row r="21" spans="1:4" ht="17.25" x14ac:dyDescent="0.3">
      <c r="A21" s="2">
        <v>2</v>
      </c>
      <c r="B21" s="9" t="s">
        <v>6</v>
      </c>
      <c r="C21" s="10">
        <f>FV($D$16,$A21*12,$D$14*-1)</f>
        <v>13613.813648822608</v>
      </c>
      <c r="D21" s="11">
        <f>C21*rendimento_carteira</f>
        <v>136.13813648822608</v>
      </c>
    </row>
    <row r="22" spans="1:4" ht="17.25" x14ac:dyDescent="0.3">
      <c r="A22" s="2">
        <v>5</v>
      </c>
      <c r="B22" s="12" t="s">
        <v>7</v>
      </c>
      <c r="C22" s="13">
        <f>FV($D$16,$A22*12,$D$14*-1)</f>
        <v>41888.456999243819</v>
      </c>
      <c r="D22" s="11">
        <f>C22*rendimento_carteira</f>
        <v>418.88456999243817</v>
      </c>
    </row>
    <row r="23" spans="1:4" ht="17.25" x14ac:dyDescent="0.3">
      <c r="A23" s="2">
        <v>10</v>
      </c>
      <c r="B23" s="12" t="s">
        <v>8</v>
      </c>
      <c r="C23" s="13">
        <f>FV($D$16,$A23*12,$D$14*-1)</f>
        <v>121642.1062650861</v>
      </c>
      <c r="D23" s="11">
        <f>C23*rendimento_carteira</f>
        <v>1216.4210626508609</v>
      </c>
    </row>
    <row r="24" spans="1:4" ht="17.25" x14ac:dyDescent="0.3">
      <c r="A24" s="2">
        <v>20</v>
      </c>
      <c r="B24" s="12" t="s">
        <v>9</v>
      </c>
      <c r="C24" s="13">
        <f>FV($D$16,$A24*12,$D$14*-1)</f>
        <v>562599.20004854025</v>
      </c>
      <c r="D24" s="11">
        <f>C24*rendimento_carteira</f>
        <v>5625.992000485403</v>
      </c>
    </row>
    <row r="25" spans="1:4" ht="18" thickBot="1" x14ac:dyDescent="0.35">
      <c r="A25" s="2">
        <v>30</v>
      </c>
      <c r="B25" s="14" t="s">
        <v>10</v>
      </c>
      <c r="C25" s="15">
        <f>FV($D$16,$A25*12,$D$14*-1)</f>
        <v>2161084.8275023573</v>
      </c>
      <c r="D25" s="16">
        <f>C25*rendimento_carteira</f>
        <v>21610.848275023574</v>
      </c>
    </row>
    <row r="29" spans="1:4" ht="17.25" x14ac:dyDescent="0.3">
      <c r="B29" s="24" t="s">
        <v>21</v>
      </c>
      <c r="C29" s="38" t="s">
        <v>18</v>
      </c>
      <c r="D29" s="25"/>
    </row>
    <row r="30" spans="1:4" ht="17.25" x14ac:dyDescent="0.3">
      <c r="B30" s="26" t="s">
        <v>20</v>
      </c>
      <c r="C30" s="39">
        <f>aporte</f>
        <v>500</v>
      </c>
      <c r="D30" s="25"/>
    </row>
    <row r="31" spans="1:4" ht="17.25" x14ac:dyDescent="0.3">
      <c r="B31" s="25"/>
      <c r="C31" s="25"/>
      <c r="D31" s="25"/>
    </row>
    <row r="32" spans="1:4" ht="17.25" x14ac:dyDescent="0.3">
      <c r="B32" s="27" t="s">
        <v>22</v>
      </c>
      <c r="C32" s="27" t="s">
        <v>23</v>
      </c>
      <c r="D32" s="27" t="s">
        <v>24</v>
      </c>
    </row>
    <row r="33" spans="2:4" ht="17.25" x14ac:dyDescent="0.3">
      <c r="B33" s="28" t="s">
        <v>25</v>
      </c>
      <c r="C33" s="29">
        <f>VLOOKUP($C$29&amp;"-"&amp;B33,Planilha2!$A$2:$D$20,4,FALSE)</f>
        <v>0.32</v>
      </c>
      <c r="D33" s="30">
        <f>C33*$C$30</f>
        <v>160</v>
      </c>
    </row>
    <row r="34" spans="2:4" ht="17.25" x14ac:dyDescent="0.3">
      <c r="B34" s="28" t="s">
        <v>26</v>
      </c>
      <c r="C34" s="29">
        <f>VLOOKUP($C$29&amp;"-"&amp;B34,Planilha2!$A$2:$D$20,4,FALSE)</f>
        <v>0.35</v>
      </c>
      <c r="D34" s="30">
        <f t="shared" ref="D34:D38" si="0">C34*$C$30</f>
        <v>175</v>
      </c>
    </row>
    <row r="35" spans="2:4" ht="17.25" x14ac:dyDescent="0.3">
      <c r="B35" s="28" t="s">
        <v>27</v>
      </c>
      <c r="C35" s="29">
        <f>VLOOKUP($C$29&amp;"-"&amp;B35,Planilha2!$A$2:$D$20,4,FALSE)</f>
        <v>0.08</v>
      </c>
      <c r="D35" s="30">
        <f t="shared" si="0"/>
        <v>40</v>
      </c>
    </row>
    <row r="36" spans="2:4" ht="17.25" x14ac:dyDescent="0.3">
      <c r="B36" s="28" t="s">
        <v>28</v>
      </c>
      <c r="C36" s="29">
        <f>VLOOKUP($C$29&amp;"-"&amp;B36,Planilha2!$A$2:$D$20,4,FALSE)</f>
        <v>0.05</v>
      </c>
      <c r="D36" s="30">
        <f t="shared" si="0"/>
        <v>25</v>
      </c>
    </row>
    <row r="37" spans="2:4" ht="17.25" x14ac:dyDescent="0.3">
      <c r="B37" s="28" t="s">
        <v>29</v>
      </c>
      <c r="C37" s="29">
        <f>VLOOKUP($C$29&amp;"-"&amp;B37,Planilha2!$A$2:$D$20,4,FALSE)</f>
        <v>0.1</v>
      </c>
      <c r="D37" s="30">
        <f t="shared" si="0"/>
        <v>50</v>
      </c>
    </row>
    <row r="38" spans="2:4" ht="17.25" x14ac:dyDescent="0.3">
      <c r="B38" s="28" t="s">
        <v>30</v>
      </c>
      <c r="C38" s="29">
        <f>VLOOKUP($C$29&amp;"-"&amp;B38,Planilha2!$A$2:$D$20,4,FALSE)</f>
        <v>0.1</v>
      </c>
      <c r="D38" s="30">
        <f t="shared" si="0"/>
        <v>50</v>
      </c>
    </row>
    <row r="39" spans="2:4" ht="17.25" x14ac:dyDescent="0.3">
      <c r="B39" s="31"/>
      <c r="C39" s="31"/>
      <c r="D39" s="32">
        <f>SUM(D33:D38)</f>
        <v>500</v>
      </c>
    </row>
  </sheetData>
  <mergeCells count="12">
    <mergeCell ref="B18:C18"/>
    <mergeCell ref="B5:D5"/>
    <mergeCell ref="B6:D6"/>
    <mergeCell ref="B8:D8"/>
    <mergeCell ref="B14:C14"/>
    <mergeCell ref="B15:C15"/>
    <mergeCell ref="B16:C16"/>
    <mergeCell ref="B17:C17"/>
    <mergeCell ref="B13:D13"/>
    <mergeCell ref="B9:C9"/>
    <mergeCell ref="B10:C10"/>
    <mergeCell ref="B11:C11"/>
  </mergeCells>
  <dataValidations disablePrompts="1" count="1">
    <dataValidation type="list" allowBlank="1" showInputMessage="1" showErrorMessage="1" sqref="C29" xr:uid="{A60C2BDA-65D0-4894-996F-5150C47E732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9867-F283-4300-8B92-8BF96E93660E}">
  <dimension ref="A2:D20"/>
  <sheetViews>
    <sheetView workbookViewId="0">
      <selection activeCell="D13" sqref="D13"/>
    </sheetView>
  </sheetViews>
  <sheetFormatPr defaultRowHeight="15" x14ac:dyDescent="0.25"/>
  <cols>
    <col min="1" max="1" width="30.85546875" bestFit="1" customWidth="1"/>
    <col min="2" max="3" width="18.5703125" bestFit="1" customWidth="1"/>
  </cols>
  <sheetData>
    <row r="2" spans="1:4" x14ac:dyDescent="0.25">
      <c r="A2" t="s">
        <v>33</v>
      </c>
      <c r="B2" t="s">
        <v>31</v>
      </c>
      <c r="C2" s="18" t="s">
        <v>22</v>
      </c>
      <c r="D2" s="1" t="s">
        <v>32</v>
      </c>
    </row>
    <row r="3" spans="1:4" x14ac:dyDescent="0.25">
      <c r="A3" t="str">
        <f>B3&amp;"-"&amp;C3</f>
        <v>Conservador-PAPEL</v>
      </c>
      <c r="B3" t="s">
        <v>17</v>
      </c>
      <c r="C3" s="1" t="s">
        <v>25</v>
      </c>
      <c r="D3" s="17">
        <v>0.3</v>
      </c>
    </row>
    <row r="4" spans="1:4" x14ac:dyDescent="0.25">
      <c r="A4" t="str">
        <f t="shared" ref="A4:A8" si="0">B4&amp;"-"&amp;C4</f>
        <v>Conservador-TIJOLO</v>
      </c>
      <c r="B4" t="s">
        <v>17</v>
      </c>
      <c r="C4" s="1" t="s">
        <v>26</v>
      </c>
      <c r="D4" s="21">
        <v>0.5</v>
      </c>
    </row>
    <row r="5" spans="1:4" x14ac:dyDescent="0.25">
      <c r="A5" t="str">
        <f t="shared" si="0"/>
        <v>Conservador-HIBRÍDOS</v>
      </c>
      <c r="B5" t="s">
        <v>17</v>
      </c>
      <c r="C5" s="1" t="s">
        <v>27</v>
      </c>
      <c r="D5" s="21">
        <v>0.1</v>
      </c>
    </row>
    <row r="6" spans="1:4" x14ac:dyDescent="0.25">
      <c r="A6" t="str">
        <f t="shared" si="0"/>
        <v>Conservador-FOFs</v>
      </c>
      <c r="B6" t="s">
        <v>17</v>
      </c>
      <c r="C6" s="1" t="s">
        <v>28</v>
      </c>
      <c r="D6" s="21">
        <v>0.1</v>
      </c>
    </row>
    <row r="7" spans="1:4" x14ac:dyDescent="0.25">
      <c r="A7" t="str">
        <f t="shared" si="0"/>
        <v>Conservador-DESENVOLVIMENTO</v>
      </c>
      <c r="B7" t="s">
        <v>17</v>
      </c>
      <c r="C7" s="1" t="s">
        <v>29</v>
      </c>
      <c r="D7" s="21">
        <v>0</v>
      </c>
    </row>
    <row r="8" spans="1:4" ht="15.75" thickBot="1" x14ac:dyDescent="0.3">
      <c r="A8" s="19" t="str">
        <f t="shared" si="0"/>
        <v>Conservador-HOTELARIAS</v>
      </c>
      <c r="B8" s="19" t="s">
        <v>17</v>
      </c>
      <c r="C8" s="20" t="s">
        <v>30</v>
      </c>
      <c r="D8" s="22">
        <v>0</v>
      </c>
    </row>
    <row r="9" spans="1:4" x14ac:dyDescent="0.25">
      <c r="A9" t="str">
        <f>B9&amp;"-"&amp;C9</f>
        <v>Moderado-PAPEL</v>
      </c>
      <c r="B9" t="s">
        <v>18</v>
      </c>
      <c r="C9" s="1" t="s">
        <v>25</v>
      </c>
      <c r="D9" s="23">
        <v>0.32</v>
      </c>
    </row>
    <row r="10" spans="1:4" x14ac:dyDescent="0.25">
      <c r="A10" t="str">
        <f t="shared" ref="A10:A13" si="1">B10&amp;"-"&amp;C10</f>
        <v>Moderado-TIJOLO</v>
      </c>
      <c r="B10" t="s">
        <v>18</v>
      </c>
      <c r="C10" s="1" t="s">
        <v>26</v>
      </c>
      <c r="D10" s="23">
        <v>0.35</v>
      </c>
    </row>
    <row r="11" spans="1:4" x14ac:dyDescent="0.25">
      <c r="A11" t="str">
        <f t="shared" si="1"/>
        <v>Moderado-HIBRÍDOS</v>
      </c>
      <c r="B11" t="s">
        <v>18</v>
      </c>
      <c r="C11" s="1" t="s">
        <v>27</v>
      </c>
      <c r="D11" s="23">
        <v>0.08</v>
      </c>
    </row>
    <row r="12" spans="1:4" x14ac:dyDescent="0.25">
      <c r="A12" t="str">
        <f t="shared" si="1"/>
        <v>Moderado-FOFs</v>
      </c>
      <c r="B12" t="s">
        <v>18</v>
      </c>
      <c r="C12" s="1" t="s">
        <v>28</v>
      </c>
      <c r="D12" s="23">
        <v>0.05</v>
      </c>
    </row>
    <row r="13" spans="1:4" x14ac:dyDescent="0.25">
      <c r="A13" t="str">
        <f t="shared" si="1"/>
        <v>Moderado-DESENVOLVIMENTO</v>
      </c>
      <c r="B13" t="s">
        <v>18</v>
      </c>
      <c r="C13" s="1" t="s">
        <v>29</v>
      </c>
      <c r="D13" s="23">
        <v>0.1</v>
      </c>
    </row>
    <row r="14" spans="1:4" ht="15.75" thickBot="1" x14ac:dyDescent="0.3">
      <c r="A14" s="19" t="str">
        <f>B14&amp;"-"&amp;C14</f>
        <v>Moderado-HOTELARIAS</v>
      </c>
      <c r="B14" s="19" t="s">
        <v>18</v>
      </c>
      <c r="C14" s="20" t="s">
        <v>30</v>
      </c>
      <c r="D14" s="22">
        <v>0.1</v>
      </c>
    </row>
    <row r="15" spans="1:4" x14ac:dyDescent="0.25">
      <c r="A15" t="str">
        <f>B15&amp;"-"&amp;C15</f>
        <v>Agressivo-PAPEL</v>
      </c>
      <c r="B15" t="s">
        <v>19</v>
      </c>
      <c r="C15" s="1" t="s">
        <v>25</v>
      </c>
      <c r="D15" s="23">
        <v>0.5</v>
      </c>
    </row>
    <row r="16" spans="1:4" x14ac:dyDescent="0.25">
      <c r="A16" t="str">
        <f t="shared" ref="A16:A20" si="2">B16&amp;"-"&amp;C16</f>
        <v>Agressivo-TIJOLO</v>
      </c>
      <c r="B16" t="s">
        <v>19</v>
      </c>
      <c r="C16" s="1" t="s">
        <v>26</v>
      </c>
      <c r="D16" s="23">
        <v>0.1</v>
      </c>
    </row>
    <row r="17" spans="1:4" x14ac:dyDescent="0.25">
      <c r="A17" t="str">
        <f t="shared" si="2"/>
        <v>Agressivo-HIBRÍDOS</v>
      </c>
      <c r="B17" t="s">
        <v>19</v>
      </c>
      <c r="C17" s="1" t="s">
        <v>27</v>
      </c>
      <c r="D17" s="23">
        <v>0.05</v>
      </c>
    </row>
    <row r="18" spans="1:4" x14ac:dyDescent="0.25">
      <c r="A18" t="str">
        <f t="shared" si="2"/>
        <v>Agressivo-FOFs</v>
      </c>
      <c r="B18" t="s">
        <v>19</v>
      </c>
      <c r="C18" s="1" t="s">
        <v>28</v>
      </c>
      <c r="D18" s="23">
        <v>0.05</v>
      </c>
    </row>
    <row r="19" spans="1:4" x14ac:dyDescent="0.25">
      <c r="A19" t="str">
        <f t="shared" si="2"/>
        <v>Agressivo-DESENVOLVIMENTO</v>
      </c>
      <c r="B19" t="s">
        <v>19</v>
      </c>
      <c r="C19" s="1" t="s">
        <v>29</v>
      </c>
      <c r="D19" s="21">
        <v>0.2</v>
      </c>
    </row>
    <row r="20" spans="1:4" x14ac:dyDescent="0.25">
      <c r="A20" t="str">
        <f t="shared" si="2"/>
        <v>Agressivo-HOTELARIAS</v>
      </c>
      <c r="B20" t="s">
        <v>19</v>
      </c>
      <c r="C20" s="1" t="s">
        <v>30</v>
      </c>
      <c r="D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Aristóteles Carvalho</dc:creator>
  <cp:lastModifiedBy>Aristóteles Carvalho</cp:lastModifiedBy>
  <dcterms:created xsi:type="dcterms:W3CDTF">2025-12-18T19:58:17Z</dcterms:created>
  <dcterms:modified xsi:type="dcterms:W3CDTF">2025-12-25T17:48:54Z</dcterms:modified>
</cp:coreProperties>
</file>